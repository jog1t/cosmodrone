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240" yWindow="15" windowWidth="16095" windowHeight="9660"/>
  </bookViews>
  <sheets>
    <sheet name="Overview" sheetId="1" r:id="rId1"/>
    <sheet name="Chassis" sheetId="2" r:id="rId2"/>
    <sheet name="Modules" sheetId="3" r:id="rId3"/>
    <sheet name="Loadouts" sheetId="4" r:id="rId4"/>
    <sheet name="LevelCalc" sheetId="5" r:id="rId5"/>
  </sheets>
  <calcPr calcId="171027" fullCalcOnLoad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  <Relationship Id="rId2" Type="http://schemas.openxmlformats.org/officeDocument/2006/relationships/worksheet" Target="worksheets/sheet2.xml"/>  <Relationship Id="rId3" Type="http://schemas.openxmlformats.org/officeDocument/2006/relationships/worksheet" Target="worksheets/sheet3.xml"/>  <Relationship Id="rId4" Type="http://schemas.openxmlformats.org/officeDocument/2006/relationships/worksheet" Target="worksheets/sheet4.xml"/>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20"/>
  <sheetViews>
    <sheetView workbookViewId="0"/>
  </sheetViews>
  <sheetFormatPr defaultRowHeight="15"/>
  <sheetData>
    <row r="1">
      <c r="A1" t="inlineStr">
        <is>
          <t>Cosmodrone Balance Model</t>
        </is>
      </c>
    </row>
    <row r="2"/>
    <row r="3">
      <c r="A3" t="inlineStr">
        <is>
          <t>Purpose</t>
        </is>
      </c>
      <c r="B3" t="inlineStr">
        <is>
          <t>Tune core numbers for modules, templates, and puzzle targets without editing code.</t>
        </is>
      </c>
    </row>
    <row r="4"/>
    <row r="5">
      <c r="A5" t="inlineStr">
        <is>
          <t>How to use</t>
        </is>
      </c>
    </row>
    <row r="6">
      <c r="A6" t="inlineStr">
        <is>
          <t>1</t>
        </is>
      </c>
      <c r="B6" t="inlineStr">
        <is>
          <t>Adjust values in the Chassis and Modules sheets.</t>
        </is>
      </c>
    </row>
    <row r="7">
      <c r="A7" t="inlineStr">
        <is>
          <t>2</t>
        </is>
      </c>
      <c r="B7" t="inlineStr">
        <is>
          <t>Edit template loadouts in the Loadouts sheet.</t>
        </is>
      </c>
    </row>
    <row r="8">
      <c r="A8" t="inlineStr">
        <is>
          <t>3</t>
        </is>
      </c>
      <c r="B8" t="inlineStr">
        <is>
          <t>Pick a template per level in LevelCalc to estimate trip safety, ticks, and ops.</t>
        </is>
      </c>
    </row>
    <row r="9">
      <c r="A9" t="inlineStr">
        <is>
          <t>4</t>
        </is>
      </c>
      <c r="B9" t="inlineStr">
        <is>
          <t>Treat all defaults as starting assumptions, not final balance.</t>
        </is>
      </c>
    </row>
    <row r="10"/>
    <row r="11">
      <c r="A11" t="inlineStr">
        <is>
          <t>Key assumptions</t>
        </is>
      </c>
    </row>
    <row r="12">
      <c r="A12" t="inlineStr">
        <is>
          <t>- Battery is intrinsic to the chassis in MVP.</t>
        </is>
      </c>
    </row>
    <row r="13">
      <c r="A13" t="inlineStr">
        <is>
          <t>- Ops are charged for API calls only.</t>
        </is>
      </c>
    </row>
    <row r="14">
      <c r="A14" t="inlineStr">
        <is>
          <t>- moveTo() takes one step per tick toward coordinates.</t>
        </is>
      </c>
    </row>
    <row r="15">
      <c r="A15" t="inlineStr">
        <is>
          <t>- mine(direction) and store() resolve during same-tick actuator resolution.</t>
        </is>
      </c>
    </row>
    <row r="16">
      <c r="A16" t="inlineStr">
        <is>
          <t>- Drones can stack on the same tile in v1.</t>
        </is>
      </c>
    </row>
    <row r="17"/>
    <row r="18">
      <c r="A18" t="inlineStr">
        <is>
          <t>Notes</t>
        </is>
      </c>
    </row>
    <row r="19">
      <c r="A19" t="inlineStr">
        <is>
          <t>- Level 1 style levels can preload ore coordinates only and do not require sensors.</t>
        </is>
      </c>
    </row>
    <row r="20">
      <c r="A20" t="inlineStr">
        <is>
          <t>- Level 5+ style levels can start depending on SENSOR_BASIC and baseMemory.</t>
        </is>
      </c>
    </row>
  </sheetData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MAX_SLOTS</t>
        </is>
      </c>
      <c r="B2">
        <v>4</v>
      </c>
      <c r="C2" t="inlineStr">
        <is>
          <t>Hard chassis module slots in MVP</t>
        </is>
      </c>
    </row>
    <row r="3">
      <c r="A3" t="inlineStr">
        <is>
          <t>BASE_BATTERY_CAP</t>
        </is>
      </c>
      <c r="B3">
        <v>120</v>
      </c>
      <c r="C3" t="inlineStr">
        <is>
          <t>Intrinsic battery capacity per drone</t>
        </is>
      </c>
    </row>
    <row r="4">
      <c r="A4" t="inlineStr">
        <is>
          <t>ORE_PER_MINE_ACTION</t>
        </is>
      </c>
      <c r="B4">
        <v>1</v>
      </c>
      <c r="C4" t="inlineStr">
        <is>
          <t>Ore gained by one successful mine action</t>
        </is>
      </c>
    </row>
    <row r="5">
      <c r="A5" t="inlineStr">
        <is>
          <t>MOVE_OP_COST</t>
        </is>
      </c>
      <c r="B5">
        <v>5</v>
      </c>
      <c r="C5" t="inlineStr">
        <is>
          <t>Ops cost of moveTo()</t>
        </is>
      </c>
    </row>
    <row r="6">
      <c r="A6" t="inlineStr">
        <is>
          <t>MINE_OP_COST</t>
        </is>
      </c>
      <c r="B6">
        <v>3</v>
      </c>
      <c r="C6" t="inlineStr">
        <is>
          <t>Ops cost of mine()</t>
        </is>
      </c>
    </row>
    <row r="7">
      <c r="A7" t="inlineStr">
        <is>
          <t>STORE_OP_COST</t>
        </is>
      </c>
      <c r="B7">
        <v>2</v>
      </c>
      <c r="C7" t="inlineStr">
        <is>
          <t>Ops cost of store()</t>
        </is>
      </c>
    </row>
  </sheetData>
</worksheet>
</file>

<file path=xl/worksheets/sheet3.xml><?xml version="1.0" encoding="utf-8"?>
<worksheet xmlns="http://schemas.openxmlformats.org/spreadsheetml/2006/main">
  <dimension ref="A1:J8"/>
  <sheetViews>
    <sheetView workbookViewId="0"/>
  </sheetViews>
  <sheetFormatPr defaultRowHeight="15"/>
  <sheetData>
    <row r="1">
      <c r="A1" t="inlineStr">
        <is>
          <t>Module</t>
        </is>
      </c>
      <c r="B1" t="inlineStr">
        <is>
          <t>Category</t>
        </is>
      </c>
      <c r="C1" t="inlineStr">
        <is>
          <t>Slots</t>
        </is>
      </c>
      <c r="D1" t="inlineStr">
        <is>
          <t>OreCost</t>
        </is>
      </c>
      <c r="E1" t="inlineStr">
        <is>
          <t>OpsBudget</t>
        </is>
      </c>
      <c r="F1" t="inlineStr">
        <is>
          <t>MemoryBytes</t>
        </is>
      </c>
      <c r="G1" t="inlineStr">
        <is>
          <t>CargoCap</t>
        </is>
      </c>
      <c r="H1" t="inlineStr">
        <is>
          <t>SensorRadius</t>
        </is>
      </c>
      <c r="I1" t="inlineStr">
        <is>
          <t>DrainPerTick</t>
        </is>
      </c>
      <c r="J1" t="inlineStr">
        <is>
          <t>Notes</t>
        </is>
      </c>
    </row>
    <row r="2">
      <c r="A2" t="inlineStr">
        <is>
          <t>CPU_MICRO</t>
        </is>
      </c>
      <c r="B2" t="inlineStr">
        <is>
          <t>CPU</t>
        </is>
      </c>
      <c r="C2">
        <v>1</v>
      </c>
      <c r="D2">
        <v>10</v>
      </c>
      <c r="E2">
        <v>32</v>
      </c>
      <c r="F2">
        <v>128</v>
      </c>
      <c r="G2">
        <v>0</v>
      </c>
      <c r="H2">
        <v>0</v>
      </c>
      <c r="I2">
        <v>1</v>
      </c>
      <c r="J2" t="inlineStr">
        <is>
          <t>Starter CPU</t>
        </is>
      </c>
    </row>
    <row r="3">
      <c r="A3" t="inlineStr">
        <is>
          <t>CPU_BASIC</t>
        </is>
      </c>
      <c r="B3" t="inlineStr">
        <is>
          <t>CPU</t>
        </is>
      </c>
      <c r="C3">
        <v>2</v>
      </c>
      <c r="D3">
        <v>50</v>
      </c>
      <c r="E3">
        <v>128</v>
      </c>
      <c r="F3">
        <v>512</v>
      </c>
      <c r="G3">
        <v>0</v>
      </c>
      <c r="H3">
        <v>0</v>
      </c>
      <c r="I3">
        <v>2</v>
      </c>
      <c r="J3" t="inlineStr">
        <is>
          <t>Mid-tier CPU</t>
        </is>
      </c>
    </row>
    <row r="4">
      <c r="A4" t="inlineStr">
        <is>
          <t>CPU_ADVANCED</t>
        </is>
      </c>
      <c r="B4" t="inlineStr">
        <is>
          <t>CPU</t>
        </is>
      </c>
      <c r="C4">
        <v>2</v>
      </c>
      <c r="D4">
        <v>200</v>
      </c>
      <c r="E4">
        <v>512</v>
      </c>
      <c r="F4">
        <v>2048</v>
      </c>
      <c r="G4">
        <v>0</v>
      </c>
      <c r="H4">
        <v>0</v>
      </c>
      <c r="I4">
        <v>4</v>
      </c>
      <c r="J4" t="inlineStr">
        <is>
          <t>High-end CPU</t>
        </is>
      </c>
    </row>
    <row r="5">
      <c r="A5" t="inlineStr">
        <is>
          <t>SENSOR_BASIC</t>
        </is>
      </c>
      <c r="B5" t="inlineStr">
        <is>
          <t>Sensor</t>
        </is>
      </c>
      <c r="C5">
        <v>1</v>
      </c>
      <c r="D5">
        <v>15</v>
      </c>
      <c r="E5">
        <v>0</v>
      </c>
      <c r="F5">
        <v>0</v>
      </c>
      <c r="G5">
        <v>0</v>
      </c>
      <c r="H5">
        <v>3</v>
      </c>
      <c r="I5">
        <v>1</v>
      </c>
      <c r="J5" t="inlineStr">
        <is>
          <t>Basic local sensing</t>
        </is>
      </c>
    </row>
    <row r="6">
      <c r="A6" t="inlineStr">
        <is>
          <t>LEGS</t>
        </is>
      </c>
      <c r="B6" t="inlineStr">
        <is>
          <t>Mobility</t>
        </is>
      </c>
      <c r="C6">
        <v>1</v>
      </c>
      <c r="D6">
        <v>10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Required for moveTo()</t>
        </is>
      </c>
    </row>
    <row r="7">
      <c r="A7" t="inlineStr">
        <is>
          <t>DRILL</t>
        </is>
      </c>
      <c r="B7" t="inlineStr">
        <is>
          <t>Mining</t>
        </is>
      </c>
      <c r="C7">
        <v>1</v>
      </c>
      <c r="D7">
        <v>10</v>
      </c>
      <c r="E7">
        <v>0</v>
      </c>
      <c r="F7">
        <v>0</v>
      </c>
      <c r="G7">
        <v>0</v>
      </c>
      <c r="H7">
        <v>0</v>
      </c>
      <c r="I7">
        <v>2</v>
      </c>
      <c r="J7" t="inlineStr">
        <is>
          <t>Required for mine()</t>
        </is>
      </c>
    </row>
    <row r="8">
      <c r="A8" t="inlineStr">
        <is>
          <t>CARGO</t>
        </is>
      </c>
      <c r="B8" t="inlineStr">
        <is>
          <t>Cargo</t>
        </is>
      </c>
      <c r="C8">
        <v>1</v>
      </c>
      <c r="D8">
        <v>15</v>
      </c>
      <c r="E8">
        <v>0</v>
      </c>
      <c r="F8">
        <v>0</v>
      </c>
      <c r="G8">
        <v>100</v>
      </c>
      <c r="H8">
        <v>0</v>
      </c>
      <c r="I8">
        <v>0</v>
      </c>
      <c r="J8" t="inlineStr">
        <is>
          <t>Required for store(); adds capacity</t>
        </is>
      </c>
    </row>
  </sheetData>
</worksheet>
</file>

<file path=xl/worksheets/sheet4.xml><?xml version="1.0" encoding="utf-8"?>
<worksheet xmlns="http://schemas.openxmlformats.org/spreadsheetml/2006/main">
  <dimension ref="A1:R7"/>
  <sheetViews>
    <sheetView workbookViewId="0"/>
  </sheetViews>
  <sheetFormatPr defaultRowHeight="15"/>
  <sheetData>
    <row r="1">
      <c r="A1" t="inlineStr">
        <is>
          <t>Template</t>
        </is>
      </c>
      <c r="B1" t="inlineStr">
        <is>
          <t>Slot1</t>
        </is>
      </c>
      <c r="C1" t="inlineStr">
        <is>
          <t>Slot2</t>
        </is>
      </c>
      <c r="D1" t="inlineStr">
        <is>
          <t>Slot3</t>
        </is>
      </c>
      <c r="E1" t="inlineStr">
        <is>
          <t>Slot4</t>
        </is>
      </c>
      <c r="F1" t="inlineStr">
        <is>
          <t>SlotsUsed</t>
        </is>
      </c>
      <c r="G1" t="inlineStr">
        <is>
          <t>Legal</t>
        </is>
      </c>
      <c r="H1" t="inlineStr">
        <is>
          <t>OreCost</t>
        </is>
      </c>
      <c r="I1" t="inlineStr">
        <is>
          <t>OpsBudget</t>
        </is>
      </c>
      <c r="J1" t="inlineStr">
        <is>
          <t>MemoryBytes</t>
        </is>
      </c>
      <c r="K1" t="inlineStr">
        <is>
          <t>CargoCap</t>
        </is>
      </c>
      <c r="L1" t="inlineStr">
        <is>
          <t>SensorRadius</t>
        </is>
      </c>
      <c r="M1" t="inlineStr">
        <is>
          <t>HasMove</t>
        </is>
      </c>
      <c r="N1" t="inlineStr">
        <is>
          <t>HasMine</t>
        </is>
      </c>
      <c r="O1" t="inlineStr">
        <is>
          <t>HasStore</t>
        </is>
      </c>
      <c r="P1" t="inlineStr">
        <is>
          <t>DrainPerTick</t>
        </is>
      </c>
      <c r="Q1" t="inlineStr">
        <is>
          <t>BatteryCap</t>
        </is>
      </c>
      <c r="R1" t="inlineStr">
        <is>
          <t>EstIdleTicks</t>
        </is>
      </c>
    </row>
    <row r="2">
      <c r="A2" t="inlineStr">
        <is>
          <t>StarterMiner</t>
        </is>
      </c>
      <c r="B2" t="inlineStr">
        <is>
          <t>CPU_MICRO</t>
        </is>
      </c>
      <c r="C2" t="inlineStr">
        <is>
          <t>LEGS</t>
        </is>
      </c>
      <c r="D2" t="inlineStr">
        <is>
          <t>DRILL</t>
        </is>
      </c>
      <c r="E2" t="inlineStr">
        <is>
          <t>CARGO</t>
        </is>
      </c>
      <c r="F2">
        <f>SUM(IFERROR(VLOOKUP(B2,Modules!$A$2:$I$8,3,FALSE),0),IFERROR(VLOOKUP(C2,Modules!$A$2:$I$8,3,FALSE),0),IFERROR(VLOOKUP(D2,Modules!$A$2:$I$8,3,FALSE),0),IFERROR(VLOOKUP(E2,Modules!$A$2:$I$8,3,FALSE),0))</f>
      </c>
      <c r="G2">
        <f>AND(F2&lt;=Chassis!$B$2,COUNTIF(B2:E2,"CPU_*")=1)</f>
      </c>
      <c r="H2">
        <f>SUM(IFERROR(VLOOKUP(B2,Modules!$A$2:$I$8,4,FALSE),0),IFERROR(VLOOKUP(C2,Modules!$A$2:$I$8,4,FALSE),0),IFERROR(VLOOKUP(D2,Modules!$A$2:$I$8,4,FALSE),0),IFERROR(VLOOKUP(E2,Modules!$A$2:$I$8,4,FALSE),0))</f>
      </c>
      <c r="I2">
        <f>SUM(IFERROR(VLOOKUP(B2,Modules!$A$2:$I$8,5,FALSE),0),IFERROR(VLOOKUP(C2,Modules!$A$2:$I$8,5,FALSE),0),IFERROR(VLOOKUP(D2,Modules!$A$2:$I$8,5,FALSE),0),IFERROR(VLOOKUP(E2,Modules!$A$2:$I$8,5,FALSE),0))</f>
      </c>
      <c r="J2">
        <f>SUM(IFERROR(VLOOKUP(B2,Modules!$A$2:$I$8,6,FALSE),0),IFERROR(VLOOKUP(C2,Modules!$A$2:$I$8,6,FALSE),0),IFERROR(VLOOKUP(D2,Modules!$A$2:$I$8,6,FALSE),0),IFERROR(VLOOKUP(E2,Modules!$A$2:$I$8,6,FALSE),0))</f>
      </c>
      <c r="K2">
        <f>SUM(IFERROR(VLOOKUP(B2,Modules!$A$2:$I$8,7,FALSE),0),IFERROR(VLOOKUP(C2,Modules!$A$2:$I$8,7,FALSE),0),IFERROR(VLOOKUP(D2,Modules!$A$2:$I$8,7,FALSE),0),IFERROR(VLOOKUP(E2,Modules!$A$2:$I$8,7,FALSE),0))</f>
      </c>
      <c r="L2">
        <f>MAX(IFERROR(VLOOKUP(B2,Modules!$A$2:$I$8,8,FALSE),0),IFERROR(VLOOKUP(C2,Modules!$A$2:$I$8,8,FALSE),0),IFERROR(VLOOKUP(D2,Modules!$A$2:$I$8,8,FALSE),0),IFERROR(VLOOKUP(E2,Modules!$A$2:$I$8,8,FALSE),0))</f>
      </c>
      <c r="M2">
        <f>COUNTIF(B2:E2,"LEGS")&gt;0</f>
      </c>
      <c r="N2">
        <f>COUNTIF(B2:E2,"DRILL")&gt;0</f>
      </c>
      <c r="O2">
        <f>COUNTIF(B2:E2,"CARGO")&gt;0</f>
      </c>
      <c r="P2">
        <f>SUM(IFERROR(VLOOKUP(B2,Modules!$A$2:$I$8,9,FALSE),0),IFERROR(VLOOKUP(C2,Modules!$A$2:$I$8,9,FALSE),0),IFERROR(VLOOKUP(D2,Modules!$A$2:$I$8,9,FALSE),0),IFERROR(VLOOKUP(E2,Modules!$A$2:$I$8,9,FALSE),0))</f>
      </c>
      <c r="Q2">
        <f>Chassis!$B$3</f>
      </c>
      <c r="R2">
        <f>IF(P2&gt;0,Q2/P2,"")</f>
      </c>
    </row>
    <row r="3">
      <c r="A3" t="inlineStr">
        <is>
          <t>Scout</t>
        </is>
      </c>
      <c r="B3" t="inlineStr">
        <is>
          <t>CPU_MICRO</t>
        </is>
      </c>
      <c r="C3" t="inlineStr">
        <is>
          <t>SENSOR_BASIC</t>
        </is>
      </c>
      <c r="D3" t="inlineStr">
        <is>
          <t>LEGS</t>
        </is>
      </c>
      <c r="E3" t="inlineStr">
        <is>
          <t>CARGO</t>
        </is>
      </c>
      <c r="F3">
        <f>SUM(IFERROR(VLOOKUP(B3,Modules!$A$2:$I$8,3,FALSE),0),IFERROR(VLOOKUP(C3,Modules!$A$2:$I$8,3,FALSE),0),IFERROR(VLOOKUP(D3,Modules!$A$2:$I$8,3,FALSE),0),IFERROR(VLOOKUP(E3,Modules!$A$2:$I$8,3,FALSE),0))</f>
      </c>
      <c r="G3">
        <f>AND(F3&lt;=Chassis!$B$2,COUNTIF(B3:E3,"CPU_*")=1)</f>
      </c>
      <c r="H3">
        <f>SUM(IFERROR(VLOOKUP(B3,Modules!$A$2:$I$8,4,FALSE),0),IFERROR(VLOOKUP(C3,Modules!$A$2:$I$8,4,FALSE),0),IFERROR(VLOOKUP(D3,Modules!$A$2:$I$8,4,FALSE),0),IFERROR(VLOOKUP(E3,Modules!$A$2:$I$8,4,FALSE),0))</f>
      </c>
      <c r="I3">
        <f>SUM(IFERROR(VLOOKUP(B3,Modules!$A$2:$I$8,5,FALSE),0),IFERROR(VLOOKUP(C3,Modules!$A$2:$I$8,5,FALSE),0),IFERROR(VLOOKUP(D3,Modules!$A$2:$I$8,5,FALSE),0),IFERROR(VLOOKUP(E3,Modules!$A$2:$I$8,5,FALSE),0))</f>
      </c>
      <c r="J3">
        <f>SUM(IFERROR(VLOOKUP(B3,Modules!$A$2:$I$8,6,FALSE),0),IFERROR(VLOOKUP(C3,Modules!$A$2:$I$8,6,FALSE),0),IFERROR(VLOOKUP(D3,Modules!$A$2:$I$8,6,FALSE),0),IFERROR(VLOOKUP(E3,Modules!$A$2:$I$8,6,FALSE),0))</f>
      </c>
      <c r="K3">
        <f>SUM(IFERROR(VLOOKUP(B3,Modules!$A$2:$I$8,7,FALSE),0),IFERROR(VLOOKUP(C3,Modules!$A$2:$I$8,7,FALSE),0),IFERROR(VLOOKUP(D3,Modules!$A$2:$I$8,7,FALSE),0),IFERROR(VLOOKUP(E3,Modules!$A$2:$I$8,7,FALSE),0))</f>
      </c>
      <c r="L3">
        <f>MAX(IFERROR(VLOOKUP(B3,Modules!$A$2:$I$8,8,FALSE),0),IFERROR(VLOOKUP(C3,Modules!$A$2:$I$8,8,FALSE),0),IFERROR(VLOOKUP(D3,Modules!$A$2:$I$8,8,FALSE),0),IFERROR(VLOOKUP(E3,Modules!$A$2:$I$8,8,FALSE),0))</f>
      </c>
      <c r="M3">
        <f>COUNTIF(B3:E3,"LEGS")&gt;0</f>
      </c>
      <c r="N3">
        <f>COUNTIF(B3:E3,"DRILL")&gt;0</f>
      </c>
      <c r="O3">
        <f>COUNTIF(B3:E3,"CARGO")&gt;0</f>
      </c>
      <c r="P3">
        <f>SUM(IFERROR(VLOOKUP(B3,Modules!$A$2:$I$8,9,FALSE),0),IFERROR(VLOOKUP(C3,Modules!$A$2:$I$8,9,FALSE),0),IFERROR(VLOOKUP(D3,Modules!$A$2:$I$8,9,FALSE),0),IFERROR(VLOOKUP(E3,Modules!$A$2:$I$8,9,FALSE),0))</f>
      </c>
      <c r="Q3">
        <f>Chassis!$B$3</f>
      </c>
      <c r="R3">
        <f>IF(P3&gt;0,Q3/P3,"")</f>
      </c>
    </row>
    <row r="4">
      <c r="A4" t="inlineStr">
        <is>
          <t>Coordinator</t>
        </is>
      </c>
      <c r="B4" t="inlineStr">
        <is>
          <t>CPU_BASIC</t>
        </is>
      </c>
      <c r="C4" t="inlineStr">
        <is>
          <t>SENSOR_BASIC</t>
        </is>
      </c>
      <c r="D4" t="inlineStr">
        <is>
          <t>LEGS</t>
        </is>
      </c>
      <c r="F4">
        <f>SUM(IFERROR(VLOOKUP(B4,Modules!$A$2:$I$8,3,FALSE),0),IFERROR(VLOOKUP(C4,Modules!$A$2:$I$8,3,FALSE),0),IFERROR(VLOOKUP(D4,Modules!$A$2:$I$8,3,FALSE),0),IFERROR(VLOOKUP(E4,Modules!$A$2:$I$8,3,FALSE),0))</f>
      </c>
      <c r="G4">
        <f>AND(F4&lt;=Chassis!$B$2,COUNTIF(B4:E4,"CPU_*")=1)</f>
      </c>
      <c r="H4">
        <f>SUM(IFERROR(VLOOKUP(B4,Modules!$A$2:$I$8,4,FALSE),0),IFERROR(VLOOKUP(C4,Modules!$A$2:$I$8,4,FALSE),0),IFERROR(VLOOKUP(D4,Modules!$A$2:$I$8,4,FALSE),0),IFERROR(VLOOKUP(E4,Modules!$A$2:$I$8,4,FALSE),0))</f>
      </c>
      <c r="I4">
        <f>SUM(IFERROR(VLOOKUP(B4,Modules!$A$2:$I$8,5,FALSE),0),IFERROR(VLOOKUP(C4,Modules!$A$2:$I$8,5,FALSE),0),IFERROR(VLOOKUP(D4,Modules!$A$2:$I$8,5,FALSE),0),IFERROR(VLOOKUP(E4,Modules!$A$2:$I$8,5,FALSE),0))</f>
      </c>
      <c r="J4">
        <f>SUM(IFERROR(VLOOKUP(B4,Modules!$A$2:$I$8,6,FALSE),0),IFERROR(VLOOKUP(C4,Modules!$A$2:$I$8,6,FALSE),0),IFERROR(VLOOKUP(D4,Modules!$A$2:$I$8,6,FALSE),0),IFERROR(VLOOKUP(E4,Modules!$A$2:$I$8,6,FALSE),0))</f>
      </c>
      <c r="K4">
        <f>SUM(IFERROR(VLOOKUP(B4,Modules!$A$2:$I$8,7,FALSE),0),IFERROR(VLOOKUP(C4,Modules!$A$2:$I$8,7,FALSE),0),IFERROR(VLOOKUP(D4,Modules!$A$2:$I$8,7,FALSE),0),IFERROR(VLOOKUP(E4,Modules!$A$2:$I$8,7,FALSE),0))</f>
      </c>
      <c r="L4">
        <f>MAX(IFERROR(VLOOKUP(B4,Modules!$A$2:$I$8,8,FALSE),0),IFERROR(VLOOKUP(C4,Modules!$A$2:$I$8,8,FALSE),0),IFERROR(VLOOKUP(D4,Modules!$A$2:$I$8,8,FALSE),0),IFERROR(VLOOKUP(E4,Modules!$A$2:$I$8,8,FALSE),0))</f>
      </c>
      <c r="M4">
        <f>COUNTIF(B4:E4,"LEGS")&gt;0</f>
      </c>
      <c r="N4">
        <f>COUNTIF(B4:E4,"DRILL")&gt;0</f>
      </c>
      <c r="O4">
        <f>COUNTIF(B4:E4,"CARGO")&gt;0</f>
      </c>
      <c r="P4">
        <f>SUM(IFERROR(VLOOKUP(B4,Modules!$A$2:$I$8,9,FALSE),0),IFERROR(VLOOKUP(C4,Modules!$A$2:$I$8,9,FALSE),0),IFERROR(VLOOKUP(D4,Modules!$A$2:$I$8,9,FALSE),0),IFERROR(VLOOKUP(E4,Modules!$A$2:$I$8,9,FALSE),0))</f>
      </c>
      <c r="Q4">
        <f>Chassis!$B$3</f>
      </c>
      <c r="R4">
        <f>IF(P4&gt;0,Q4/P4,"")</f>
      </c>
    </row>
    <row r="5">
      <c r="A5" t="inlineStr">
        <is>
          <t>Hauler</t>
        </is>
      </c>
      <c r="B5" t="inlineStr">
        <is>
          <t>CPU_MICRO</t>
        </is>
      </c>
      <c r="C5" t="inlineStr">
        <is>
          <t>LEGS</t>
        </is>
      </c>
      <c r="D5" t="inlineStr">
        <is>
          <t>CARGO</t>
        </is>
      </c>
      <c r="E5" t="inlineStr">
        <is>
          <t>CARGO</t>
        </is>
      </c>
      <c r="F5">
        <f>SUM(IFERROR(VLOOKUP(B5,Modules!$A$2:$I$8,3,FALSE),0),IFERROR(VLOOKUP(C5,Modules!$A$2:$I$8,3,FALSE),0),IFERROR(VLOOKUP(D5,Modules!$A$2:$I$8,3,FALSE),0),IFERROR(VLOOKUP(E5,Modules!$A$2:$I$8,3,FALSE),0))</f>
      </c>
      <c r="G5">
        <f>AND(F5&lt;=Chassis!$B$2,COUNTIF(B5:E5,"CPU_*")=1)</f>
      </c>
      <c r="H5">
        <f>SUM(IFERROR(VLOOKUP(B5,Modules!$A$2:$I$8,4,FALSE),0),IFERROR(VLOOKUP(C5,Modules!$A$2:$I$8,4,FALSE),0),IFERROR(VLOOKUP(D5,Modules!$A$2:$I$8,4,FALSE),0),IFERROR(VLOOKUP(E5,Modules!$A$2:$I$8,4,FALSE),0))</f>
      </c>
      <c r="I5">
        <f>SUM(IFERROR(VLOOKUP(B5,Modules!$A$2:$I$8,5,FALSE),0),IFERROR(VLOOKUP(C5,Modules!$A$2:$I$8,5,FALSE),0),IFERROR(VLOOKUP(D5,Modules!$A$2:$I$8,5,FALSE),0),IFERROR(VLOOKUP(E5,Modules!$A$2:$I$8,5,FALSE),0))</f>
      </c>
      <c r="J5">
        <f>SUM(IFERROR(VLOOKUP(B5,Modules!$A$2:$I$8,6,FALSE),0),IFERROR(VLOOKUP(C5,Modules!$A$2:$I$8,6,FALSE),0),IFERROR(VLOOKUP(D5,Modules!$A$2:$I$8,6,FALSE),0),IFERROR(VLOOKUP(E5,Modules!$A$2:$I$8,6,FALSE),0))</f>
      </c>
      <c r="K5">
        <f>SUM(IFERROR(VLOOKUP(B5,Modules!$A$2:$I$8,7,FALSE),0),IFERROR(VLOOKUP(C5,Modules!$A$2:$I$8,7,FALSE),0),IFERROR(VLOOKUP(D5,Modules!$A$2:$I$8,7,FALSE),0),IFERROR(VLOOKUP(E5,Modules!$A$2:$I$8,7,FALSE),0))</f>
      </c>
      <c r="L5">
        <f>MAX(IFERROR(VLOOKUP(B5,Modules!$A$2:$I$8,8,FALSE),0),IFERROR(VLOOKUP(C5,Modules!$A$2:$I$8,8,FALSE),0),IFERROR(VLOOKUP(D5,Modules!$A$2:$I$8,8,FALSE),0),IFERROR(VLOOKUP(E5,Modules!$A$2:$I$8,8,FALSE),0))</f>
      </c>
      <c r="M5">
        <f>COUNTIF(B5:E5,"LEGS")&gt;0</f>
      </c>
      <c r="N5">
        <f>COUNTIF(B5:E5,"DRILL")&gt;0</f>
      </c>
      <c r="O5">
        <f>COUNTIF(B5:E5,"CARGO")&gt;0</f>
      </c>
      <c r="P5">
        <f>SUM(IFERROR(VLOOKUP(B5,Modules!$A$2:$I$8,9,FALSE),0),IFERROR(VLOOKUP(C5,Modules!$A$2:$I$8,9,FALSE),0),IFERROR(VLOOKUP(D5,Modules!$A$2:$I$8,9,FALSE),0),IFERROR(VLOOKUP(E5,Modules!$A$2:$I$8,9,FALSE),0))</f>
      </c>
      <c r="Q5">
        <f>Chassis!$B$3</f>
      </c>
      <c r="R5">
        <f>IF(P5&gt;0,Q5/P5,"")</f>
      </c>
    </row>
    <row r="6">
      <c r="A6" t="inlineStr">
        <is>
          <t>SurveyMiner</t>
        </is>
      </c>
      <c r="B6" t="inlineStr">
        <is>
          <t>CPU_MICRO</t>
        </is>
      </c>
      <c r="C6" t="inlineStr">
        <is>
          <t>SENSOR_BASIC</t>
        </is>
      </c>
      <c r="D6" t="inlineStr">
        <is>
          <t>LEGS</t>
        </is>
      </c>
      <c r="E6" t="inlineStr">
        <is>
          <t>DRILL</t>
        </is>
      </c>
      <c r="F6">
        <f>SUM(IFERROR(VLOOKUP(B6,Modules!$A$2:$I$8,3,FALSE),0),IFERROR(VLOOKUP(C6,Modules!$A$2:$I$8,3,FALSE),0),IFERROR(VLOOKUP(D6,Modules!$A$2:$I$8,3,FALSE),0),IFERROR(VLOOKUP(E6,Modules!$A$2:$I$8,3,FALSE),0))</f>
      </c>
      <c r="G6">
        <f>AND(F6&lt;=Chassis!$B$2,COUNTIF(B6:E6,"CPU_*")=1)</f>
      </c>
      <c r="H6">
        <f>SUM(IFERROR(VLOOKUP(B6,Modules!$A$2:$I$8,4,FALSE),0),IFERROR(VLOOKUP(C6,Modules!$A$2:$I$8,4,FALSE),0),IFERROR(VLOOKUP(D6,Modules!$A$2:$I$8,4,FALSE),0),IFERROR(VLOOKUP(E6,Modules!$A$2:$I$8,4,FALSE),0))</f>
      </c>
      <c r="I6">
        <f>SUM(IFERROR(VLOOKUP(B6,Modules!$A$2:$I$8,5,FALSE),0),IFERROR(VLOOKUP(C6,Modules!$A$2:$I$8,5,FALSE),0),IFERROR(VLOOKUP(D6,Modules!$A$2:$I$8,5,FALSE),0),IFERROR(VLOOKUP(E6,Modules!$A$2:$I$8,5,FALSE),0))</f>
      </c>
      <c r="J6">
        <f>SUM(IFERROR(VLOOKUP(B6,Modules!$A$2:$I$8,6,FALSE),0),IFERROR(VLOOKUP(C6,Modules!$A$2:$I$8,6,FALSE),0),IFERROR(VLOOKUP(D6,Modules!$A$2:$I$8,6,FALSE),0),IFERROR(VLOOKUP(E6,Modules!$A$2:$I$8,6,FALSE),0))</f>
      </c>
      <c r="K6">
        <f>SUM(IFERROR(VLOOKUP(B6,Modules!$A$2:$I$8,7,FALSE),0),IFERROR(VLOOKUP(C6,Modules!$A$2:$I$8,7,FALSE),0),IFERROR(VLOOKUP(D6,Modules!$A$2:$I$8,7,FALSE),0),IFERROR(VLOOKUP(E6,Modules!$A$2:$I$8,7,FALSE),0))</f>
      </c>
      <c r="L6">
        <f>MAX(IFERROR(VLOOKUP(B6,Modules!$A$2:$I$8,8,FALSE),0),IFERROR(VLOOKUP(C6,Modules!$A$2:$I$8,8,FALSE),0),IFERROR(VLOOKUP(D6,Modules!$A$2:$I$8,8,FALSE),0),IFERROR(VLOOKUP(E6,Modules!$A$2:$I$8,8,FALSE),0))</f>
      </c>
      <c r="M6">
        <f>COUNTIF(B6:E6,"LEGS")&gt;0</f>
      </c>
      <c r="N6">
        <f>COUNTIF(B6:E6,"DRILL")&gt;0</f>
      </c>
      <c r="O6">
        <f>COUNTIF(B6:E6,"CARGO")&gt;0</f>
      </c>
      <c r="P6">
        <f>SUM(IFERROR(VLOOKUP(B6,Modules!$A$2:$I$8,9,FALSE),0),IFERROR(VLOOKUP(C6,Modules!$A$2:$I$8,9,FALSE),0),IFERROR(VLOOKUP(D6,Modules!$A$2:$I$8,9,FALSE),0),IFERROR(VLOOKUP(E6,Modules!$A$2:$I$8,9,FALSE),0))</f>
      </c>
      <c r="Q6">
        <f>Chassis!$B$3</f>
      </c>
      <c r="R6">
        <f>IF(P6&gt;0,Q6/P6,"")</f>
      </c>
    </row>
    <row r="7">
      <c r="A7" t="inlineStr">
        <is>
          <t>HeavyLogic</t>
        </is>
      </c>
      <c r="B7" t="inlineStr">
        <is>
          <t>CPU_ADVANCED</t>
        </is>
      </c>
      <c r="C7" t="inlineStr">
        <is>
          <t>LEGS</t>
        </is>
      </c>
      <c r="D7" t="inlineStr">
        <is>
          <t>CARGO</t>
        </is>
      </c>
      <c r="F7">
        <f>SUM(IFERROR(VLOOKUP(B7,Modules!$A$2:$I$8,3,FALSE),0),IFERROR(VLOOKUP(C7,Modules!$A$2:$I$8,3,FALSE),0),IFERROR(VLOOKUP(D7,Modules!$A$2:$I$8,3,FALSE),0),IFERROR(VLOOKUP(E7,Modules!$A$2:$I$8,3,FALSE),0))</f>
      </c>
      <c r="G7">
        <f>AND(F7&lt;=Chassis!$B$2,COUNTIF(B7:E7,"CPU_*")=1)</f>
      </c>
      <c r="H7">
        <f>SUM(IFERROR(VLOOKUP(B7,Modules!$A$2:$I$8,4,FALSE),0),IFERROR(VLOOKUP(C7,Modules!$A$2:$I$8,4,FALSE),0),IFERROR(VLOOKUP(D7,Modules!$A$2:$I$8,4,FALSE),0),IFERROR(VLOOKUP(E7,Modules!$A$2:$I$8,4,FALSE),0))</f>
      </c>
      <c r="I7">
        <f>SUM(IFERROR(VLOOKUP(B7,Modules!$A$2:$I$8,5,FALSE),0),IFERROR(VLOOKUP(C7,Modules!$A$2:$I$8,5,FALSE),0),IFERROR(VLOOKUP(D7,Modules!$A$2:$I$8,5,FALSE),0),IFERROR(VLOOKUP(E7,Modules!$A$2:$I$8,5,FALSE),0))</f>
      </c>
      <c r="J7">
        <f>SUM(IFERROR(VLOOKUP(B7,Modules!$A$2:$I$8,6,FALSE),0),IFERROR(VLOOKUP(C7,Modules!$A$2:$I$8,6,FALSE),0),IFERROR(VLOOKUP(D7,Modules!$A$2:$I$8,6,FALSE),0),IFERROR(VLOOKUP(E7,Modules!$A$2:$I$8,6,FALSE),0))</f>
      </c>
      <c r="K7">
        <f>SUM(IFERROR(VLOOKUP(B7,Modules!$A$2:$I$8,7,FALSE),0),IFERROR(VLOOKUP(C7,Modules!$A$2:$I$8,7,FALSE),0),IFERROR(VLOOKUP(D7,Modules!$A$2:$I$8,7,FALSE),0),IFERROR(VLOOKUP(E7,Modules!$A$2:$I$8,7,FALSE),0))</f>
      </c>
      <c r="L7">
        <f>MAX(IFERROR(VLOOKUP(B7,Modules!$A$2:$I$8,8,FALSE),0),IFERROR(VLOOKUP(C7,Modules!$A$2:$I$8,8,FALSE),0),IFERROR(VLOOKUP(D7,Modules!$A$2:$I$8,8,FALSE),0),IFERROR(VLOOKUP(E7,Modules!$A$2:$I$8,8,FALSE),0))</f>
      </c>
      <c r="M7">
        <f>COUNTIF(B7:E7,"LEGS")&gt;0</f>
      </c>
      <c r="N7">
        <f>COUNTIF(B7:E7,"DRILL")&gt;0</f>
      </c>
      <c r="O7">
        <f>COUNTIF(B7:E7,"CARGO")&gt;0</f>
      </c>
      <c r="P7">
        <f>SUM(IFERROR(VLOOKUP(B7,Modules!$A$2:$I$8,9,FALSE),0),IFERROR(VLOOKUP(C7,Modules!$A$2:$I$8,9,FALSE),0),IFERROR(VLOOKUP(D7,Modules!$A$2:$I$8,9,FALSE),0),IFERROR(VLOOKUP(E7,Modules!$A$2:$I$8,9,FALSE),0))</f>
      </c>
      <c r="Q7">
        <f>Chassis!$B$3</f>
      </c>
      <c r="R7">
        <f>IF(P7&gt;0,Q7/P7,"")</f>
      </c>
    </row>
  </sheetData>
</worksheet>
</file>

<file path=xl/worksheets/sheet5.xml><?xml version="1.0" encoding="utf-8"?>
<worksheet xmlns="http://schemas.openxmlformats.org/spreadsheetml/2006/main">
  <dimension ref="A1:T10"/>
  <sheetViews>
    <sheetView workbookViewId="0"/>
  </sheetViews>
  <sheetFormatPr defaultRowHeight="15"/>
  <sheetData>
    <row r="1">
      <c r="A1" t="inlineStr">
        <is>
          <t>Level</t>
        </is>
      </c>
      <c r="B1" t="inlineStr">
        <is>
          <t>Template</t>
        </is>
      </c>
      <c r="C1" t="inlineStr">
        <is>
          <t>TargetOre</t>
        </is>
      </c>
      <c r="D1" t="inlineStr">
        <is>
          <t>OneWayDistance</t>
        </is>
      </c>
      <c r="E1" t="inlineStr">
        <is>
          <t>CargoCap</t>
        </is>
      </c>
      <c r="F1" t="inlineStr">
        <is>
          <t>OrePerMine</t>
        </is>
      </c>
      <c r="G1" t="inlineStr">
        <is>
          <t>TripsNeeded</t>
        </is>
      </c>
      <c r="H1" t="inlineStr">
        <is>
          <t>MoveActionsPerTrip</t>
        </is>
      </c>
      <c r="I1" t="inlineStr">
        <is>
          <t>MineActionsPerTrip</t>
        </is>
      </c>
      <c r="J1" t="inlineStr">
        <is>
          <t>StoreActionsPerTrip</t>
        </is>
      </c>
      <c r="K1" t="inlineStr">
        <is>
          <t>EstTicksPerTrip</t>
        </is>
      </c>
      <c r="L1" t="inlineStr">
        <is>
          <t>EstTotalTicks</t>
        </is>
      </c>
      <c r="M1" t="inlineStr">
        <is>
          <t>OpsPerTrip</t>
        </is>
      </c>
      <c r="N1" t="inlineStr">
        <is>
          <t>EstTotalOps</t>
        </is>
      </c>
      <c r="O1" t="inlineStr">
        <is>
          <t>DrainPerTick</t>
        </is>
      </c>
      <c r="P1" t="inlineStr">
        <is>
          <t>BatteryCap</t>
        </is>
      </c>
      <c r="Q1" t="inlineStr">
        <is>
          <t>TripBatteryUse</t>
        </is>
      </c>
      <c r="R1" t="inlineStr">
        <is>
          <t>SafeTrip</t>
        </is>
      </c>
      <c r="S1" t="inlineStr">
        <is>
          <t>BatteryMargin</t>
        </is>
      </c>
      <c r="T1" t="inlineStr">
        <is>
          <t>MaxSafeOneWayDist</t>
        </is>
      </c>
    </row>
    <row r="2">
      <c r="A2" t="inlineStr">
        <is>
          <t>Level1_FirstLoop</t>
        </is>
      </c>
      <c r="B2" t="inlineStr">
        <is>
          <t>StarterMiner</t>
        </is>
      </c>
      <c r="C2">
        <v>10</v>
      </c>
      <c r="D2">
        <v>4</v>
      </c>
      <c r="E2">
        <f>IFERROR(VLOOKUP(B2,Loadouts!$A$2:$R$7,11,FALSE),0)</f>
      </c>
      <c r="F2">
        <f>Chassis!$B$4</f>
      </c>
      <c r="G2">
        <f>IF(E2&gt;0,CEILING(C2/E2,1),0)</f>
      </c>
      <c r="H2">
        <f>D2*2</f>
      </c>
      <c r="I2">
        <f>IF(AND(E2&gt;0,F2&gt;0),ROUNDUP(E2/F2,0),0)</f>
      </c>
      <c r="J2">
        <f>IF(E2&gt;0,1,0)</f>
      </c>
      <c r="K2">
        <f>H2+I2+J2</f>
      </c>
      <c r="L2">
        <f>G2*K2</f>
      </c>
      <c r="M2">
        <f>H2*Chassis!$B$5+I2*Chassis!$B$6+J2*Chassis!$B$7</f>
      </c>
      <c r="N2">
        <f>G2*M2</f>
      </c>
      <c r="O2">
        <f>IFERROR(VLOOKUP(B2,Loadouts!$A$2:$R$7,16,FALSE),0)</f>
      </c>
      <c r="P2">
        <f>IFERROR(VLOOKUP(B2,Loadouts!$A$2:$R$7,17,FALSE),0)</f>
      </c>
      <c r="Q2">
        <f>O2*K2</f>
      </c>
      <c r="R2">
        <f>Q2&lt;=P2</f>
      </c>
      <c r="S2">
        <f>P2-Q2</f>
      </c>
      <c r="T2">
        <f>IF(AND(O2&gt;0,E2&gt;0),MAX(0,ROUNDDOWN(((P2/O2)-J2-I2)/2,0)),"")</f>
      </c>
    </row>
    <row r="3">
      <c r="A3" t="inlineStr">
        <is>
          <t>Level2_ReturnInTime</t>
        </is>
      </c>
      <c r="B3" t="inlineStr">
        <is>
          <t>StarterMiner</t>
        </is>
      </c>
      <c r="C3">
        <v>12</v>
      </c>
      <c r="D3">
        <v>8</v>
      </c>
      <c r="E3">
        <f>IFERROR(VLOOKUP(B3,Loadouts!$A$2:$R$7,11,FALSE),0)</f>
      </c>
      <c r="F3">
        <f>Chassis!$B$4</f>
      </c>
      <c r="G3">
        <f>IF(E3&gt;0,CEILING(C3/E3,1),0)</f>
      </c>
      <c r="H3">
        <f>D3*2</f>
      </c>
      <c r="I3">
        <f>IF(AND(E3&gt;0,F3&gt;0),ROUNDUP(E3/F3,0),0)</f>
      </c>
      <c r="J3">
        <f>IF(E3&gt;0,1,0)</f>
      </c>
      <c r="K3">
        <f>H3+I3+J3</f>
      </c>
      <c r="L3">
        <f>G3*K3</f>
      </c>
      <c r="M3">
        <f>H3*Chassis!$B$5+I3*Chassis!$B$6+J3*Chassis!$B$7</f>
      </c>
      <c r="N3">
        <f>G3*M3</f>
      </c>
      <c r="O3">
        <f>IFERROR(VLOOKUP(B3,Loadouts!$A$2:$R$7,16,FALSE),0)</f>
      </c>
      <c r="P3">
        <f>IFERROR(VLOOKUP(B3,Loadouts!$A$2:$R$7,17,FALSE),0)</f>
      </c>
      <c r="Q3">
        <f>O3*K3</f>
      </c>
      <c r="R3">
        <f>Q3&lt;=P3</f>
      </c>
      <c r="S3">
        <f>P3-Q3</f>
      </c>
      <c r="T3">
        <f>IF(AND(O3&gt;0,E3&gt;0),MAX(0,ROUNDDOWN(((P3/O3)-J3-I3)/2,0)),"")</f>
      </c>
    </row>
    <row r="4">
      <c r="A4" t="inlineStr">
        <is>
          <t>Level3_ThinkLess</t>
        </is>
      </c>
      <c r="B4" t="inlineStr">
        <is>
          <t>StarterMiner</t>
        </is>
      </c>
      <c r="C4">
        <v>12</v>
      </c>
      <c r="D4">
        <v>6</v>
      </c>
      <c r="E4">
        <f>IFERROR(VLOOKUP(B4,Loadouts!$A$2:$R$7,11,FALSE),0)</f>
      </c>
      <c r="F4">
        <f>Chassis!$B$4</f>
      </c>
      <c r="G4">
        <f>IF(E4&gt;0,CEILING(C4/E4,1),0)</f>
      </c>
      <c r="H4">
        <f>D4*2</f>
      </c>
      <c r="I4">
        <f>IF(AND(E4&gt;0,F4&gt;0),ROUNDUP(E4/F4,0),0)</f>
      </c>
      <c r="J4">
        <f>IF(E4&gt;0,1,0)</f>
      </c>
      <c r="K4">
        <f>H4+I4+J4</f>
      </c>
      <c r="L4">
        <f>G4*K4</f>
      </c>
      <c r="M4">
        <f>H4*Chassis!$B$5+I4*Chassis!$B$6+J4*Chassis!$B$7</f>
      </c>
      <c r="N4">
        <f>G4*M4</f>
      </c>
      <c r="O4">
        <f>IFERROR(VLOOKUP(B4,Loadouts!$A$2:$R$7,16,FALSE),0)</f>
      </c>
      <c r="P4">
        <f>IFERROR(VLOOKUP(B4,Loadouts!$A$2:$R$7,17,FALSE),0)</f>
      </c>
      <c r="Q4">
        <f>O4*K4</f>
      </c>
      <c r="R4">
        <f>Q4&lt;=P4</f>
      </c>
      <c r="S4">
        <f>P4-Q4</f>
      </c>
      <c r="T4">
        <f>IF(AND(O4&gt;0,E4&gt;0),MAX(0,ROUNDDOWN(((P4/O4)-J4-I4)/2,0)),"")</f>
      </c>
    </row>
    <row r="5">
      <c r="A5" t="inlineStr">
        <is>
          <t>Level4_SameCode</t>
        </is>
      </c>
      <c r="B5" t="inlineStr">
        <is>
          <t>StarterMiner</t>
        </is>
      </c>
      <c r="C5">
        <v>20</v>
      </c>
      <c r="D5">
        <v>5</v>
      </c>
      <c r="E5">
        <f>IFERROR(VLOOKUP(B5,Loadouts!$A$2:$R$7,11,FALSE),0)</f>
      </c>
      <c r="F5">
        <f>Chassis!$B$4</f>
      </c>
      <c r="G5">
        <f>IF(E5&gt;0,CEILING(C5/E5,1),0)</f>
      </c>
      <c r="H5">
        <f>D5*2</f>
      </c>
      <c r="I5">
        <f>IF(AND(E5&gt;0,F5&gt;0),ROUNDUP(E5/F5,0),0)</f>
      </c>
      <c r="J5">
        <f>IF(E5&gt;0,1,0)</f>
      </c>
      <c r="K5">
        <f>H5+I5+J5</f>
      </c>
      <c r="L5">
        <f>G5*K5</f>
      </c>
      <c r="M5">
        <f>H5*Chassis!$B$5+I5*Chassis!$B$6+J5*Chassis!$B$7</f>
      </c>
      <c r="N5">
        <f>G5*M5</f>
      </c>
      <c r="O5">
        <f>IFERROR(VLOOKUP(B5,Loadouts!$A$2:$R$7,16,FALSE),0)</f>
      </c>
      <c r="P5">
        <f>IFERROR(VLOOKUP(B5,Loadouts!$A$2:$R$7,17,FALSE),0)</f>
      </c>
      <c r="Q5">
        <f>O5*K5</f>
      </c>
      <c r="R5">
        <f>Q5&lt;=P5</f>
      </c>
      <c r="S5">
        <f>P5-Q5</f>
      </c>
      <c r="T5">
        <f>IF(AND(O5&gt;0,E5&gt;0),MAX(0,ROUNDDOWN(((P5/O5)-J5-I5)/2,0)),"")</f>
      </c>
    </row>
    <row r="6">
      <c r="A6" t="inlineStr">
        <is>
          <t>Level5_BlindSighted_Miner</t>
        </is>
      </c>
      <c r="B6" t="inlineStr">
        <is>
          <t>StarterMiner</t>
        </is>
      </c>
      <c r="C6">
        <v>15</v>
      </c>
      <c r="D6">
        <v>7</v>
      </c>
      <c r="E6">
        <f>IFERROR(VLOOKUP(B6,Loadouts!$A$2:$R$7,11,FALSE),0)</f>
      </c>
      <c r="F6">
        <f>Chassis!$B$4</f>
      </c>
      <c r="G6">
        <f>IF(E6&gt;0,CEILING(C6/E6,1),0)</f>
      </c>
      <c r="H6">
        <f>D6*2</f>
      </c>
      <c r="I6">
        <f>IF(AND(E6&gt;0,F6&gt;0),ROUNDUP(E6/F6,0),0)</f>
      </c>
      <c r="J6">
        <f>IF(E6&gt;0,1,0)</f>
      </c>
      <c r="K6">
        <f>H6+I6+J6</f>
      </c>
      <c r="L6">
        <f>G6*K6</f>
      </c>
      <c r="M6">
        <f>H6*Chassis!$B$5+I6*Chassis!$B$6+J6*Chassis!$B$7</f>
      </c>
      <c r="N6">
        <f>G6*M6</f>
      </c>
      <c r="O6">
        <f>IFERROR(VLOOKUP(B6,Loadouts!$A$2:$R$7,16,FALSE),0)</f>
      </c>
      <c r="P6">
        <f>IFERROR(VLOOKUP(B6,Loadouts!$A$2:$R$7,17,FALSE),0)</f>
      </c>
      <c r="Q6">
        <f>O6*K6</f>
      </c>
      <c r="R6">
        <f>Q6&lt;=P6</f>
      </c>
      <c r="S6">
        <f>P6-Q6</f>
      </c>
      <c r="T6">
        <f>IF(AND(O6&gt;0,E6&gt;0),MAX(0,ROUNDDOWN(((P6/O6)-J6-I6)/2,0)),"")</f>
      </c>
    </row>
    <row r="7">
      <c r="A7" t="inlineStr">
        <is>
          <t>Level5_BlindSighted_Scout</t>
        </is>
      </c>
      <c r="B7" t="inlineStr">
        <is>
          <t>Scout</t>
        </is>
      </c>
      <c r="C7">
        <v>0</v>
      </c>
      <c r="D7">
        <v>7</v>
      </c>
      <c r="E7">
        <f>IFERROR(VLOOKUP(B7,Loadouts!$A$2:$R$7,11,FALSE),0)</f>
      </c>
      <c r="F7">
        <f>Chassis!$B$4</f>
      </c>
      <c r="G7">
        <f>IF(E7&gt;0,CEILING(C7/E7,1),0)</f>
      </c>
      <c r="H7">
        <f>D7*2</f>
      </c>
      <c r="I7">
        <f>IF(AND(E7&gt;0,F7&gt;0),ROUNDUP(E7/F7,0),0)</f>
      </c>
      <c r="J7">
        <f>IF(E7&gt;0,1,0)</f>
      </c>
      <c r="K7">
        <f>H7+I7+J7</f>
      </c>
      <c r="L7">
        <f>G7*K7</f>
      </c>
      <c r="M7">
        <f>H7*Chassis!$B$5+I7*Chassis!$B$6+J7*Chassis!$B$7</f>
      </c>
      <c r="N7">
        <f>G7*M7</f>
      </c>
      <c r="O7">
        <f>IFERROR(VLOOKUP(B7,Loadouts!$A$2:$R$7,16,FALSE),0)</f>
      </c>
      <c r="P7">
        <f>IFERROR(VLOOKUP(B7,Loadouts!$A$2:$R$7,17,FALSE),0)</f>
      </c>
      <c r="Q7">
        <f>O7*K7</f>
      </c>
      <c r="R7">
        <f>Q7&lt;=P7</f>
      </c>
      <c r="S7">
        <f>P7-Q7</f>
      </c>
      <c r="T7">
        <f>IF(AND(O7&gt;0,E7&gt;0),MAX(0,ROUNDDOWN(((P7/O7)-J7-I7)/2,0)),"")</f>
      </c>
    </row>
    <row r="8">
      <c r="A8" t="inlineStr">
        <is>
          <t>Level6_ClaimWork</t>
        </is>
      </c>
      <c r="B8" t="inlineStr">
        <is>
          <t>StarterMiner</t>
        </is>
      </c>
      <c r="C8">
        <v>30</v>
      </c>
      <c r="D8">
        <v>9</v>
      </c>
      <c r="E8">
        <f>IFERROR(VLOOKUP(B8,Loadouts!$A$2:$R$7,11,FALSE),0)</f>
      </c>
      <c r="F8">
        <f>Chassis!$B$4</f>
      </c>
      <c r="G8">
        <f>IF(E8&gt;0,CEILING(C8/E8,1),0)</f>
      </c>
      <c r="H8">
        <f>D8*2</f>
      </c>
      <c r="I8">
        <f>IF(AND(E8&gt;0,F8&gt;0),ROUNDUP(E8/F8,0),0)</f>
      </c>
      <c r="J8">
        <f>IF(E8&gt;0,1,0)</f>
      </c>
      <c r="K8">
        <f>H8+I8+J8</f>
      </c>
      <c r="L8">
        <f>G8*K8</f>
      </c>
      <c r="M8">
        <f>H8*Chassis!$B$5+I8*Chassis!$B$6+J8*Chassis!$B$7</f>
      </c>
      <c r="N8">
        <f>G8*M8</f>
      </c>
      <c r="O8">
        <f>IFERROR(VLOOKUP(B8,Loadouts!$A$2:$R$7,16,FALSE),0)</f>
      </c>
      <c r="P8">
        <f>IFERROR(VLOOKUP(B8,Loadouts!$A$2:$R$7,17,FALSE),0)</f>
      </c>
      <c r="Q8">
        <f>O8*K8</f>
      </c>
      <c r="R8">
        <f>Q8&lt;=P8</f>
      </c>
      <c r="S8">
        <f>P8-Q8</f>
      </c>
      <c r="T8">
        <f>IF(AND(O8&gt;0,E8&gt;0),MAX(0,ROUNDDOWN(((P8/O8)-J8-I8)/2,0)),"")</f>
      </c>
    </row>
    <row r="9">
      <c r="A9" t="inlineStr">
        <is>
          <t>Level7_BuildMatters</t>
        </is>
      </c>
      <c r="B9" t="inlineStr">
        <is>
          <t>SurveyMiner</t>
        </is>
      </c>
      <c r="C9">
        <v>20</v>
      </c>
      <c r="D9">
        <v>10</v>
      </c>
      <c r="E9">
        <f>IFERROR(VLOOKUP(B9,Loadouts!$A$2:$R$7,11,FALSE),0)</f>
      </c>
      <c r="F9">
        <f>Chassis!$B$4</f>
      </c>
      <c r="G9">
        <f>IF(E9&gt;0,CEILING(C9/E9,1),0)</f>
      </c>
      <c r="H9">
        <f>D9*2</f>
      </c>
      <c r="I9">
        <f>IF(AND(E9&gt;0,F9&gt;0),ROUNDUP(E9/F9,0),0)</f>
      </c>
      <c r="J9">
        <f>IF(E9&gt;0,1,0)</f>
      </c>
      <c r="K9">
        <f>H9+I9+J9</f>
      </c>
      <c r="L9">
        <f>G9*K9</f>
      </c>
      <c r="M9">
        <f>H9*Chassis!$B$5+I9*Chassis!$B$6+J9*Chassis!$B$7</f>
      </c>
      <c r="N9">
        <f>G9*M9</f>
      </c>
      <c r="O9">
        <f>IFERROR(VLOOKUP(B9,Loadouts!$A$2:$R$7,16,FALSE),0)</f>
      </c>
      <c r="P9">
        <f>IFERROR(VLOOKUP(B9,Loadouts!$A$2:$R$7,17,FALSE),0)</f>
      </c>
      <c r="Q9">
        <f>O9*K9</f>
      </c>
      <c r="R9">
        <f>Q9&lt;=P9</f>
      </c>
      <c r="S9">
        <f>P9-Q9</f>
      </c>
      <c r="T9">
        <f>IF(AND(O9&gt;0,E9&gt;0),MAX(0,ROUNDDOWN(((P9/O9)-J9-I9)/2,0)),"")</f>
      </c>
    </row>
    <row r="10">
      <c r="A10" t="inlineStr">
        <is>
          <t>Level8_FullSystem</t>
        </is>
      </c>
      <c r="B10" t="inlineStr">
        <is>
          <t>Coordinator</t>
        </is>
      </c>
      <c r="C10">
        <v>40</v>
      </c>
      <c r="D10">
        <v>12</v>
      </c>
      <c r="E10">
        <f>IFERROR(VLOOKUP(B10,Loadouts!$A$2:$R$7,11,FALSE),0)</f>
      </c>
      <c r="F10">
        <f>Chassis!$B$4</f>
      </c>
      <c r="G10">
        <f>IF(E10&gt;0,CEILING(C10/E10,1),0)</f>
      </c>
      <c r="H10">
        <f>D10*2</f>
      </c>
      <c r="I10">
        <f>IF(AND(E10&gt;0,F10&gt;0),ROUNDUP(E10/F10,0),0)</f>
      </c>
      <c r="J10">
        <f>IF(E10&gt;0,1,0)</f>
      </c>
      <c r="K10">
        <f>H10+I10+J10</f>
      </c>
      <c r="L10">
        <f>G10*K10</f>
      </c>
      <c r="M10">
        <f>H10*Chassis!$B$5+I10*Chassis!$B$6+J10*Chassis!$B$7</f>
      </c>
      <c r="N10">
        <f>G10*M10</f>
      </c>
      <c r="O10">
        <f>IFERROR(VLOOKUP(B10,Loadouts!$A$2:$R$7,16,FALSE),0)</f>
      </c>
      <c r="P10">
        <f>IFERROR(VLOOKUP(B10,Loadouts!$A$2:$R$7,17,FALSE),0)</f>
      </c>
      <c r="Q10">
        <f>O10*K10</f>
      </c>
      <c r="R10">
        <f>Q10&lt;=P10</f>
      </c>
      <c r="S10">
        <f>P10-Q10</f>
      </c>
      <c r="T10">
        <f>IF(AND(O10&gt;0,E10&gt;0),MAX(0,ROUNDDOWN(((P10/O10)-J10-I10)/2,0)),"")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Chassis</vt:lpstr>
      <vt:lpstr>Modules</vt:lpstr>
      <vt:lpstr>Loadouts</vt:lpstr>
      <vt:lpstr>LevelCalc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Cosmodrone Balance Model</dc:title>
  <dc:creator>OpenCode</dc:creator>
  <cp:lastModifiedBy>OpenCode</cp:lastModifiedBy>
  <dcterms:created xsi:type="dcterms:W3CDTF">2026-03-20T00:00:00Z</dcterms:created>
  <dcterms:modified xsi:type="dcterms:W3CDTF">2026-03-20T00:00:00Z</dcterms:modified>
</cp:coreProperties>
</file>